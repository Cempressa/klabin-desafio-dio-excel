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d62fafd754bb6b4/Cursos/Banco de Dados/"/>
    </mc:Choice>
  </mc:AlternateContent>
  <xr:revisionPtr revIDLastSave="0" documentId="8_{A290E6AD-AEFE-4947-A605-86DE46C6293A}" xr6:coauthVersionLast="47" xr6:coauthVersionMax="47" xr10:uidLastSave="{00000000-0000-0000-0000-000000000000}"/>
  <bookViews>
    <workbookView xWindow="20370" yWindow="-120" windowWidth="21840" windowHeight="130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33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<sst xmlns="http://schemas.openxmlformats.org/spreadsheetml/2006/main" count="2023" uniqueCount="325">
  <si>
    <t>Paleta de Cores</t>
  </si>
  <si>
    <t>#9BC848</t>
  </si>
  <si>
    <t>Xbox Color</t>
  </si>
  <si>
    <t>#E8E6E9</t>
  </si>
  <si>
    <t>negative zone</t>
  </si>
  <si>
    <t>#22C55E</t>
  </si>
  <si>
    <t>#2AE6B1</t>
  </si>
  <si>
    <t>Menus</t>
  </si>
  <si>
    <t>#5BF6A8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</si>
  <si>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</si>
  <si>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</si>
  <si>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</si>
  <si>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</si>
  <si>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</si>
  <si>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</si>
  <si>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</si>
  <si>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</si>
  <si>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</si>
  <si>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</si>
  <si>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</si>
  <si>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</si>
  <si>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</si>
  <si>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</si>
  <si>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</si>
  <si>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</si>
  <si>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</si>
  <si>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</si>
  <si>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</si>
  <si>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</si>
  <si>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</si>
  <si>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</si>
  <si>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</si>
  <si>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</si>
  <si>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</si>
  <si>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</si>
  <si>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</si>
  <si>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</si>
  <si>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</si>
  <si>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</si>
  <si>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</si>
  <si>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</si>
  <si>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</si>
  <si>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</si>
  <si>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</si>
  <si>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</si>
  <si>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</si>
  <si>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</si>
  <si>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</si>
  <si>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</si>
  <si>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</si>
  <si>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</si>
  <si>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</si>
  <si>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</si>
  <si>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</si>
  <si>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</si>
  <si>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</si>
  <si>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</si>
  <si>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</si>
  <si>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</si>
  <si>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</si>
  <si>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</si>
  <si>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</si>
  <si>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</si>
  <si>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</si>
  <si>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</si>
  <si>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</si>
  <si>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</si>
  <si>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</si>
  <si>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</si>
  <si>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</si>
  <si>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</si>
  <si>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</si>
  <si>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</si>
  <si>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</si>
  <si>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</si>
  <si>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</si>
  <si>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</si>
  <si>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</si>
  <si>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</si>
  <si>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</si>
  <si>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</si>
  <si>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</si>
  <si>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</si>
  <si>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</si>
  <si>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</si>
  <si>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</si>
  <si>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</si>
  <si>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</si>
  <si>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</si>
  <si>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</si>
  <si>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</si>
  <si>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</si>
  <si>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</si>
  <si>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</si>
  <si>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</si>
  <si>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</si>
  <si>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</si>
  <si>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</si>
  <si>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</si>
  <si>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</si>
  <si>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</si>
  <si>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</si>
  <si>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</si>
  <si>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</si>
  <si>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</si>
  <si>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</si>
  <si>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</si>
  <si>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</si>
  <si>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</si>
  <si>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</si>
  <si>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</si>
  <si>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</si>
  <si>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</si>
  <si>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</si>
  <si>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</si>
  <si>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</si>
  <si>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</si>
  <si>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</si>
  <si>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</si>
  <si>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</si>
  <si>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</si>
  <si>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</si>
  <si>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</si>
  <si>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</si>
  <si>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</si>
  <si>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</si>
  <si>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</si>
  <si>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</si>
  <si>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</si>
  <si>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</si>
  <si>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</si>
  <si>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</si>
  <si>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</si>
  <si>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</si>
  <si>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</si>
  <si>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</si>
  <si>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</si>
  <si>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</si>
  <si>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</si>
  <si>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</si>
  <si>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</si>
  <si>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</si>
  <si>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</si>
  <si>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</si>
  <si>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</si>
  <si>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</si>
  <si>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</si>
  <si>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</si>
  <si>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</si>
  <si>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</si>
  <si>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</si>
  <si>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</si>
  <si>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</si>
  <si>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</si>
  <si>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</si>
  <si>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</si>
  <si>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</si>
  <si>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</si>
  <si>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</si>
  <si>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</si>
  <si>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</si>
  <si>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</si>
  <si>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</si>
  <si>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</si>
  <si>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</si>
  <si>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</si>
  <si>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</si>
  <si>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</si>
  <si>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</si>
  <si>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</si>
  <si>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</si>
  <si>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</si>
  <si>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</si>
  <si>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</si>
  <si>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</si>
  <si>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</si>
  <si>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</si>
  <si>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</si>
  <si>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</si>
  <si>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</si>
  <si>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</si>
  <si>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</si>
  <si>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</si>
  <si>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</si>
  <si>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</si>
  <si>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</si>
  <si>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</si>
  <si>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</si>
  <si>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</si>
  <si>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</si>
  <si>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</si>
  <si>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</si>
  <si>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</si>
  <si>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</si>
  <si>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</si>
  <si>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</si>
  <si>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</si>
  <si>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</si>
  <si>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</si>
  <si>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</si>
  <si>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</si>
  <si>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</si>
  <si>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</si>
  <si>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</si>
  <si>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</si>
  <si>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</si>
  <si>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</si>
  <si>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</si>
  <si>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</si>
  <si>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</si>
  <si>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</si>
  <si>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</si>
  <si>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</si>
  <si>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</si>
  <si>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</si>
  <si>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</si>
  <si>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</si>
  <si>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</si>
  <si>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</si>
  <si>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</si>
  <si>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</si>
  <si>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</si>
  <si>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</si>
  <si>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</si>
  <si>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</si>
  <si>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</si>
  <si>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</si>
  <si>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</si>
  <si>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</si>
  <si>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</si>
  <si>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</si>
  <si>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</si>
  <si>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</si>
  <si>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</si>
  <si>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</si>
  <si>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</si>
  <si>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</si>
  <si>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</si>
  <si>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</si>
  <si>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</si>
  <si>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</si>
  <si>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</si>
  <si>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</si>
  <si>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</si>
  <si>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</si>
  <si>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</si>
  <si>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</si>
  <si>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</si>
  <si>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</si>
  <si>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</si>
  <si>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</si>
  <si>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</si>
  <si>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</si>
  <si>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</si>
  <si>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</si>
  <si>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</si>
  <si>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</si>
  <si>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</si>
  <si>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</si>
  <si>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</si>
  <si>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</si>
  <si>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</si>
  <si>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</si>
  <si>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</si>
  <si>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</si>
  <si>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</si>
  <si>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</si>
  <si>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</si>
  <si>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</si>
  <si>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</si>
  <si>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</si>
  <si>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</si>
  <si>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</si>
  <si>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</si>
  <si>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</si>
  <si>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</si>
  <si>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</si>
  <si>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</si>
  <si>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</si>
  <si>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</si>
  <si>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</si>
  <si>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</si>
  <si>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</si>
  <si>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</si>
  <si>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</si>
  <si>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</si>
  <si>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</si>
  <si>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</si>
  <si>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</si>
  <si>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</si>
  <si>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</si>
  <si>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</si>
  <si>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</si>
  <si>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</si>
  <si>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</si>
  <si>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</si>
  <si>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</si>
  <si>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</si>
  <si>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</si>
  <si>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</si>
  <si>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</si>
  <si>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</si>
  <si>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</si>
  <si>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</si>
  <si>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</si>
  <si>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</si>
  <si>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</si>
  <si>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</si>
  <si>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</si>
  <si>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</si>
  <si>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</si>
  <si>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</si>
  <si>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</si>
  <si>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especifica</t>
  </si>
  <si>
    <r>
      <t xml:space="preserve">Pergunta de Negocio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(contenco todas as assinaturas agregadas)</t>
    </r>
  </si>
  <si>
    <r>
      <t xml:space="preserve">Pergunta de Negocio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</t>
    </r>
    <r>
      <rPr>
        <sz val="11"/>
        <color theme="1"/>
        <rFont val="Aptos Narrow"/>
        <family val="2"/>
        <scheme val="minor"/>
      </rPr>
      <t xml:space="preserve"> separado por autorenovação não é renovação automatica</t>
    </r>
  </si>
  <si>
    <t>Soma de Total Value</t>
  </si>
  <si>
    <t>Total</t>
  </si>
  <si>
    <t>Total Geral</t>
  </si>
  <si>
    <t>Pergunta Negocio 3 - Total ed Vendas de Assinatura do EA play</t>
  </si>
  <si>
    <t>Rótulos de Linha</t>
  </si>
  <si>
    <t>Soma de EA Play Season Pass</t>
  </si>
  <si>
    <t>Pergunta Negocio 4 - Total de assinaturas do Minecraft Seasons Pass</t>
  </si>
  <si>
    <t>Soma de Minecraft Season Pass Price</t>
  </si>
  <si>
    <t>XBOX GAME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</si>
</sst>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2" xfId="0" applyBorder="1"/>
    <xf numFmtId="0" fontId="5" fillId="7" borderId="0" xfId="0" applyFont="1" applyFill="1"/>
    <xf numFmtId="0" fontId="0" fillId="0" borderId="0" xfId="0" applyNumberFormat="1"/>
    <xf numFmtId="0" fontId="4" fillId="0" borderId="2" xfId="1" applyFont="1" applyFill="1" applyBorder="1" applyAlignment="1">
      <alignment horizontal="left" indent="10"/>
    </xf>
  </cellXfs>
  <cellStyles count="3">
    <cellStyle name="Moeda" xfId="2" builtinId="4"/>
    <cellStyle name="Normal" xfId="0" builtinId="0"/>
    <cellStyle name="Título 1" xfId="1" builtinId="16"/>
  </cellStyles>
  <dxfs count="2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54973E0-3A0D-41FA-A8FB-07500735B485}">
      <tableStyleElement type="wholeTable" dxfId="23"/>
      <tableStyleElement type="headerRow" dxfId="22"/>
    </tableStyle>
  </tableStyles>
  <colors>
    <mruColors>
      <color rgb="FF22CC5E"/>
      <color rgb="FFE8E6E9"/>
      <color rgb="FF22C55E"/>
      <color rgb="FF2AE6B1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[Base_de_dados_Dashboard.xlsx]C̳álculos!tbl_annual_total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C5E"/>
          </a:solidFill>
          <a:ln>
            <a:noFill/>
          </a:ln>
          <a:effectLst/>
        </c:spPr>
      </c:pivotFmt>
      <c:pivotFmt>
        <c:idx val="8"/>
        <c:spPr>
          <a:solidFill>
            <a:srgbClr val="22CC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02559055118108"/>
          <c:y val="0.23406969962088073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C̳álculos!$C$9:$C$10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C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7A-4A16-BAFB-9BE43A5FBE95}"/>
              </c:ext>
            </c:extLst>
          </c:dPt>
          <c:dPt>
            <c:idx val="1"/>
            <c:invertIfNegative val="0"/>
            <c:bubble3D val="0"/>
            <c:spPr>
              <a:solidFill>
                <a:srgbClr val="22CC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A-4A16-BAFB-9BE43A5FBE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7A-4A16-BAFB-9BE43A5F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5659104"/>
        <c:axId val="1345656704"/>
      </c:barChart>
      <c:catAx>
        <c:axId val="134565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656704"/>
        <c:crosses val="autoZero"/>
        <c:auto val="1"/>
        <c:lblAlgn val="ctr"/>
        <c:lblOffset val="100"/>
        <c:noMultiLvlLbl val="0"/>
      </c:catAx>
      <c:valAx>
        <c:axId val="134565670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45659104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6350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microsoft.com/office/2007/relationships/hdphoto" Target="../media/hdphoto1.wdp"/><Relationship Id="rId7" Type="http://schemas.openxmlformats.org/officeDocument/2006/relationships/chart" Target="../charts/chart1.xml"/><Relationship Id="rId2" Type="http://schemas.openxmlformats.org/officeDocument/2006/relationships/image" Target="../media/image11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86745</xdr:colOff>
      <xdr:row>0</xdr:row>
      <xdr:rowOff>57058</xdr:rowOff>
    </xdr:from>
    <xdr:to>
      <xdr:col>3</xdr:col>
      <xdr:colOff>62933</xdr:colOff>
      <xdr:row>4</xdr:row>
      <xdr:rowOff>66600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69E1F0-3619-4A58-84D0-C7BE821EB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0" t="17472" r="70710" b="11479"/>
        <a:stretch/>
      </xdr:blipFill>
      <xdr:spPr>
        <a:xfrm>
          <a:off x="1974427" y="57058"/>
          <a:ext cx="824779" cy="87545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23813</xdr:colOff>
      <xdr:row>12</xdr:row>
      <xdr:rowOff>114301</xdr:rowOff>
    </xdr:from>
    <xdr:to>
      <xdr:col>0</xdr:col>
      <xdr:colOff>1852613</xdr:colOff>
      <xdr:row>25</xdr:row>
      <xdr:rowOff>159545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CBBF9CF-DD75-4BF7-A9EF-E994E3CE7C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3" y="1790701"/>
              <a:ext cx="1828800" cy="2674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292369</xdr:colOff>
      <xdr:row>10</xdr:row>
      <xdr:rowOff>81907</xdr:rowOff>
    </xdr:from>
    <xdr:to>
      <xdr:col>10</xdr:col>
      <xdr:colOff>346982</xdr:colOff>
      <xdr:row>19</xdr:row>
      <xdr:rowOff>68005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8BCADCD-7123-253E-12B5-BEB407ACF67C}"/>
            </a:ext>
          </a:extLst>
        </xdr:cNvPr>
        <xdr:cNvGrpSpPr/>
      </xdr:nvGrpSpPr>
      <xdr:grpSpPr>
        <a:xfrm>
          <a:off x="2425969" y="1567807"/>
          <a:ext cx="4931413" cy="1662498"/>
          <a:chOff x="2428667" y="940199"/>
          <a:chExt cx="4953000" cy="1663868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CCB367EA-0E07-69F1-E75E-2B7FE86ABD25}"/>
              </a:ext>
            </a:extLst>
          </xdr:cNvPr>
          <xdr:cNvGrpSpPr/>
        </xdr:nvGrpSpPr>
        <xdr:grpSpPr>
          <a:xfrm>
            <a:off x="2428667" y="940199"/>
            <a:ext cx="4953000" cy="1663868"/>
            <a:chOff x="2428667" y="940199"/>
            <a:chExt cx="4953000" cy="166386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CFD4EC3-D653-A8E3-8A20-27478FCDE78A}"/>
                </a:ext>
              </a:extLst>
            </xdr:cNvPr>
            <xdr:cNvSpPr/>
          </xdr:nvSpPr>
          <xdr:spPr>
            <a:xfrm>
              <a:off x="2433977" y="952500"/>
              <a:ext cx="4946197" cy="1651567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3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8F853072-808E-4BDB-BFAE-59EC1CAB5327}"/>
                </a:ext>
              </a:extLst>
            </xdr:cNvPr>
            <xdr:cNvSpPr/>
          </xdr:nvSpPr>
          <xdr:spPr>
            <a:xfrm>
              <a:off x="2805793" y="1145722"/>
              <a:ext cx="4176372" cy="125593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1911AB7E-A3CC-4812-93F8-493EAEED6F20}" type="TxLink">
                <a:rPr lang="en-US" sz="3600" b="0" i="0" u="none" strike="noStrike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Aptos Narrow"/>
                </a:rPr>
                <a:pPr algn="ctr"/>
                <a:t>R$ 600,00</a:t>
              </a:fld>
              <a:endParaRPr lang="pt-BR" sz="3600">
                <a:solidFill>
                  <a:schemeClr val="accent3">
                    <a:lumMod val="60000"/>
                    <a:lumOff val="40000"/>
                  </a:schemeClr>
                </a:solidFill>
              </a:endParaRPr>
            </a:p>
          </xdr:txBody>
        </xdr:sp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D435E1D4-736D-F0CB-32CB-95061D1CF42D}"/>
                </a:ext>
              </a:extLst>
            </xdr:cNvPr>
            <xdr:cNvSpPr/>
          </xdr:nvSpPr>
          <xdr:spPr>
            <a:xfrm>
              <a:off x="2428667" y="940199"/>
              <a:ext cx="4953000" cy="435428"/>
            </a:xfrm>
            <a:prstGeom prst="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 EA PLAY SEASONS  PASS</a:t>
              </a:r>
              <a:endPara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71A1D8B-3CD7-470D-8967-1B6551680A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harpenSoften amount="10000"/>
                    </a14:imgEffect>
                    <a14:imgEffect>
                      <a14:brightnessContrast bright="10000" contrast="1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03714" y="1170215"/>
            <a:ext cx="1219200" cy="1219200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198820</xdr:colOff>
      <xdr:row>11</xdr:row>
      <xdr:rowOff>3711</xdr:rowOff>
    </xdr:from>
    <xdr:to>
      <xdr:col>20</xdr:col>
      <xdr:colOff>253434</xdr:colOff>
      <xdr:row>19</xdr:row>
      <xdr:rowOff>63242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05CBA5A-4A1F-0BFC-2028-EC678639B40A}"/>
            </a:ext>
          </a:extLst>
        </xdr:cNvPr>
        <xdr:cNvGrpSpPr/>
      </xdr:nvGrpSpPr>
      <xdr:grpSpPr>
        <a:xfrm>
          <a:off x="8256970" y="1584861"/>
          <a:ext cx="4931414" cy="1640681"/>
          <a:chOff x="8281440" y="925286"/>
          <a:chExt cx="4953000" cy="1651567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22BB8C24-F9AC-2E52-7066-D16AB55286B8}"/>
              </a:ext>
            </a:extLst>
          </xdr:cNvPr>
          <xdr:cNvGrpSpPr/>
        </xdr:nvGrpSpPr>
        <xdr:grpSpPr>
          <a:xfrm>
            <a:off x="8281440" y="925286"/>
            <a:ext cx="4953000" cy="1651567"/>
            <a:chOff x="2428667" y="952500"/>
            <a:chExt cx="4953000" cy="1651567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2FF10E83-2766-8C9A-A4A4-90AACDD27BF9}"/>
                </a:ext>
              </a:extLst>
            </xdr:cNvPr>
            <xdr:cNvSpPr/>
          </xdr:nvSpPr>
          <xdr:spPr>
            <a:xfrm>
              <a:off x="2433977" y="952500"/>
              <a:ext cx="4946197" cy="1651567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3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B21DF78-EB56-3A55-8488-24DA637E67F9}"/>
                </a:ext>
              </a:extLst>
            </xdr:cNvPr>
            <xdr:cNvSpPr/>
          </xdr:nvSpPr>
          <xdr:spPr>
            <a:xfrm>
              <a:off x="2805793" y="1145722"/>
              <a:ext cx="4176372" cy="125593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EE3E1E19-46A1-465C-A506-94EDE2F79FAE}" type="TxLink">
                <a:rPr lang="en-US" sz="3600" b="0" i="0" u="none" strike="noStrike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Aptos Narrow"/>
                </a:rPr>
                <a:pPr algn="ctr"/>
                <a:t>R$ 940,00</a:t>
              </a:fld>
              <a:endParaRPr lang="pt-BR" sz="3600">
                <a:solidFill>
                  <a:schemeClr val="accent3">
                    <a:lumMod val="60000"/>
                    <a:lumOff val="40000"/>
                  </a:schemeClr>
                </a:solidFill>
              </a:endParaRPr>
            </a:p>
          </xdr:txBody>
        </xdr:sp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4C6DB353-639E-4785-0D7E-6DDB907EDB52}"/>
                </a:ext>
              </a:extLst>
            </xdr:cNvPr>
            <xdr:cNvSpPr/>
          </xdr:nvSpPr>
          <xdr:spPr>
            <a:xfrm>
              <a:off x="2428667" y="952500"/>
              <a:ext cx="4953000" cy="435428"/>
            </a:xfrm>
            <a:prstGeom prst="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 EA MANECRAFT SEASONS  PASS</a:t>
              </a:r>
              <a:endPara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CA13A7B-C34E-41D1-8B65-B67B395F66B5}"/>
              </a:ext>
            </a:extLst>
          </xdr:cNvPr>
          <xdr:cNvGrpSpPr/>
        </xdr:nvGrpSpPr>
        <xdr:grpSpPr>
          <a:xfrm>
            <a:off x="8422821" y="1415144"/>
            <a:ext cx="1197429" cy="612321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BBBD501C-CC15-B353-96CD-9B00558B2B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ED04627C-C758-E9DD-9428-5F86D3CB8B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291162</xdr:colOff>
      <xdr:row>22</xdr:row>
      <xdr:rowOff>103910</xdr:rowOff>
    </xdr:from>
    <xdr:to>
      <xdr:col>20</xdr:col>
      <xdr:colOff>235034</xdr:colOff>
      <xdr:row>37</xdr:row>
      <xdr:rowOff>83777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B3348F4-0552-D945-8AD3-151BE6030710}"/>
            </a:ext>
          </a:extLst>
        </xdr:cNvPr>
        <xdr:cNvGrpSpPr/>
      </xdr:nvGrpSpPr>
      <xdr:grpSpPr>
        <a:xfrm>
          <a:off x="2424762" y="3837710"/>
          <a:ext cx="10745222" cy="2837367"/>
          <a:chOff x="2410164" y="3081401"/>
          <a:chExt cx="10788765" cy="283736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44651D7-54E2-384B-AE43-E16750CBBCA3}"/>
              </a:ext>
            </a:extLst>
          </xdr:cNvPr>
          <xdr:cNvGrpSpPr/>
        </xdr:nvGrpSpPr>
        <xdr:grpSpPr>
          <a:xfrm>
            <a:off x="2410164" y="3092225"/>
            <a:ext cx="10788765" cy="2826543"/>
            <a:chOff x="2631281" y="1000126"/>
            <a:chExt cx="4931570" cy="282654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DF2729B-3D80-AFD7-2D66-A783FEB11F3A}"/>
                </a:ext>
              </a:extLst>
            </xdr:cNvPr>
            <xdr:cNvSpPr/>
          </xdr:nvSpPr>
          <xdr:spPr>
            <a:xfrm>
              <a:off x="2631281" y="1000126"/>
              <a:ext cx="4893469" cy="2726532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CCCDCDA-DD4E-4CED-ADEA-0BDCDAEB1FF7}"/>
                </a:ext>
              </a:extLst>
            </xdr:cNvPr>
            <xdr:cNvGraphicFramePr>
              <a:graphicFrameLocks/>
            </xdr:cNvGraphicFramePr>
          </xdr:nvGraphicFramePr>
          <xdr:xfrm>
            <a:off x="2990851" y="1131094"/>
            <a:ext cx="4572000" cy="26955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6130BD48-1215-4C2F-AD0F-5DA6B3A21AF0}"/>
              </a:ext>
            </a:extLst>
          </xdr:cNvPr>
          <xdr:cNvSpPr/>
        </xdr:nvSpPr>
        <xdr:spPr>
          <a:xfrm>
            <a:off x="2422070" y="3081401"/>
            <a:ext cx="10681607" cy="462642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XBOX GAME  PASS</a:t>
            </a:r>
            <a:endPara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136072</xdr:colOff>
      <xdr:row>0</xdr:row>
      <xdr:rowOff>108857</xdr:rowOff>
    </xdr:from>
    <xdr:to>
      <xdr:col>0</xdr:col>
      <xdr:colOff>831397</xdr:colOff>
      <xdr:row>3</xdr:row>
      <xdr:rowOff>55789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2CA7F5D0-5FD7-43CF-80DA-A61A837C927E}"/>
            </a:ext>
          </a:extLst>
        </xdr:cNvPr>
        <xdr:cNvSpPr/>
      </xdr:nvSpPr>
      <xdr:spPr>
        <a:xfrm>
          <a:off x="136072" y="108857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163285</xdr:colOff>
      <xdr:row>4</xdr:row>
      <xdr:rowOff>54429</xdr:rowOff>
    </xdr:from>
    <xdr:to>
      <xdr:col>0</xdr:col>
      <xdr:colOff>1783772</xdr:colOff>
      <xdr:row>8</xdr:row>
      <xdr:rowOff>34637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38C8583D-5E8B-FD87-E083-6B0E43F9DA56}"/>
            </a:ext>
          </a:extLst>
        </xdr:cNvPr>
        <xdr:cNvSpPr/>
      </xdr:nvSpPr>
      <xdr:spPr>
        <a:xfrm>
          <a:off x="163285" y="920338"/>
          <a:ext cx="1620487" cy="395844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&gt; Bem</a:t>
          </a:r>
          <a:r>
            <a:rPr lang="pt-BR" sz="1100" baseline="0">
              <a:solidFill>
                <a:schemeClr val="bg1"/>
              </a:solidFill>
            </a:rPr>
            <a:t> vinda, Liana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oneCellAnchor>
    <xdr:from>
      <xdr:col>0</xdr:col>
      <xdr:colOff>489857</xdr:colOff>
      <xdr:row>13</xdr:row>
      <xdr:rowOff>13607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E5C04A8F-4F94-9812-8C92-DE4E72F4BCDD}"/>
            </a:ext>
          </a:extLst>
        </xdr:cNvPr>
        <xdr:cNvSpPr txBox="1"/>
      </xdr:nvSpPr>
      <xdr:spPr>
        <a:xfrm>
          <a:off x="489857" y="1183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2</xdr:col>
      <xdr:colOff>346364</xdr:colOff>
      <xdr:row>4</xdr:row>
      <xdr:rowOff>69270</xdr:rowOff>
    </xdr:from>
    <xdr:to>
      <xdr:col>12</xdr:col>
      <xdr:colOff>242455</xdr:colOff>
      <xdr:row>9</xdr:row>
      <xdr:rowOff>17317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4856E01A-9AAB-457E-BDC8-C46383E24112}"/>
            </a:ext>
          </a:extLst>
        </xdr:cNvPr>
        <xdr:cNvSpPr/>
      </xdr:nvSpPr>
      <xdr:spPr>
        <a:xfrm>
          <a:off x="2476500" y="935179"/>
          <a:ext cx="5784273" cy="4675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90000"/>
                </a:schemeClr>
              </a:solidFill>
            </a:rPr>
            <a:t>Ca</a:t>
          </a:r>
          <a:r>
            <a:rPr lang="pt-BR" sz="1100">
              <a:solidFill>
                <a:schemeClr val="bg1">
                  <a:lumMod val="50000"/>
                </a:schemeClr>
              </a:solidFill>
            </a:rPr>
            <a:t>lculation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period 01/01/2024 - 31/12/2024 : Update date 25/12/2024 09:00:00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6.436714351854" createdVersion="8" refreshedVersion="8" minRefreshableVersion="3" recordCount="295" xr:uid="{AD50CDCC-FA6C-436C-9807-846DDC68E3F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688423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5FFB9-3D39-403D-AC5C-F9BF68E9908A}" name="Tabela dinâmica3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9:C3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19">
      <pivotArea dataOnly="0" labelOnly="1" outline="0" axis="axisValues" fieldPosition="0"/>
    </format>
    <format dxfId="20">
      <pivotArea collapsedLevelsAreSubtotals="1" fieldPosition="0">
        <references count="1">
          <reference field="2" count="1">
            <x v="0"/>
          </reference>
        </references>
      </pivotArea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5A477-4593-4843-A8A4-384490C02E39}" name="Tabela dinâmica1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9:C2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3">
    <format dxfId="16">
      <pivotArea dataOnly="0" labelOnly="1" outline="0" axis="axisValues" fieldPosition="0"/>
    </format>
    <format dxfId="17">
      <pivotArea collapsedLevelsAreSubtotals="1" fieldPosition="0">
        <references count="1">
          <reference field="2" count="1">
            <x v="0"/>
          </reference>
        </references>
      </pivotArea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1EF3C-AC35-41EB-9513-6744DCCF80EA}" name="tbl_annual_total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 chartFormat="3">
  <location ref="B9:C13" firstHeaderRow="2" firstDataRow="2" firstDataCol="1" rowPageCount="1" colPageCount="1"/>
  <pivotFields count="15">
    <pivotField compact="0" outline="0" showAll="0"/>
    <pivotField compact="0" outline="0" showAll="0"/>
    <pivotField compact="0" outline="0" showAll="0"/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14">
      <pivotArea outline="0" collapsedLevelsAreSubtotals="1" fieldPosition="0"/>
    </format>
    <format dxfId="15">
      <pivotArea dataOnly="0" labelOnly="1" outline="0" axis="axisValues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17648F3-C037-4389-A0E0-1AE2FD3AD77B}" sourceName="Subscription Type">
  <pivotTables>
    <pivotTable tabId="3" name="tbl_annual_total"/>
    <pivotTable tabId="3" name="Tabela dinâmica1"/>
    <pivotTable tabId="3" name="Tabela dinâmica3"/>
  </pivotTables>
  <data>
    <tabular pivotCacheId="68842368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C80FD1F-3D5D-4DCB-B113-A545CF9CE57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K36" sqref="K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575"/>
  <sheetViews>
    <sheetView showGridLines="0" workbookViewId="0">
      <selection activeCell="K36" sqref="K36"/>
    </sheetView>
  </sheetViews>
  <sheetFormatPr defaultRowHeight="15"/>
  <cols>
    <col min="2" max="2" width="19" bestFit="1" customWidth="1"/>
    <col min="3" max="3" width="35" style="14" bestFit="1" customWidth="1"/>
    <col min="4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>
      <c r="B2" t="s">
        <v>313</v>
      </c>
    </row>
    <row r="4" spans="2:3">
      <c r="B4" t="s">
        <v>314</v>
      </c>
    </row>
    <row r="5" spans="2:3">
      <c r="B5" t="s">
        <v>315</v>
      </c>
    </row>
    <row r="7" spans="2:3">
      <c r="B7" s="12" t="s">
        <v>17</v>
      </c>
      <c r="C7" t="s">
        <v>31</v>
      </c>
    </row>
    <row r="9" spans="2:3">
      <c r="B9" s="12" t="s">
        <v>316</v>
      </c>
      <c r="C9"/>
    </row>
    <row r="10" spans="2:3">
      <c r="B10" s="12" t="s">
        <v>15</v>
      </c>
      <c r="C10" t="s">
        <v>317</v>
      </c>
    </row>
    <row r="11" spans="2:3">
      <c r="B11" t="s">
        <v>30</v>
      </c>
      <c r="C11" s="14">
        <v>217</v>
      </c>
    </row>
    <row r="12" spans="2:3">
      <c r="B12" t="s">
        <v>26</v>
      </c>
      <c r="C12" s="14">
        <v>1537</v>
      </c>
    </row>
    <row r="13" spans="2:3">
      <c r="B13" t="s">
        <v>318</v>
      </c>
      <c r="C13" s="14">
        <v>1754</v>
      </c>
    </row>
    <row r="14" spans="2:3">
      <c r="C14"/>
    </row>
    <row r="15" spans="2:3">
      <c r="B15" s="13" t="s">
        <v>319</v>
      </c>
      <c r="C15"/>
    </row>
    <row r="16" spans="2:3">
      <c r="C16"/>
    </row>
    <row r="17" spans="2:5">
      <c r="B17" s="12" t="s">
        <v>17</v>
      </c>
      <c r="C17" t="s">
        <v>31</v>
      </c>
    </row>
    <row r="19" spans="2:5">
      <c r="B19" s="12" t="s">
        <v>320</v>
      </c>
      <c r="C19" s="14" t="s">
        <v>321</v>
      </c>
    </row>
    <row r="20" spans="2:5">
      <c r="B20" s="13" t="s">
        <v>29</v>
      </c>
      <c r="C20" s="17">
        <v>0</v>
      </c>
    </row>
    <row r="21" spans="2:5">
      <c r="B21" s="13" t="s">
        <v>34</v>
      </c>
      <c r="C21" s="17">
        <v>0</v>
      </c>
    </row>
    <row r="22" spans="2:5">
      <c r="B22" s="13" t="s">
        <v>25</v>
      </c>
      <c r="C22" s="17">
        <v>600</v>
      </c>
    </row>
    <row r="23" spans="2:5">
      <c r="B23" s="13" t="s">
        <v>318</v>
      </c>
      <c r="C23" s="17">
        <v>600</v>
      </c>
      <c r="E23" s="14">
        <f>GETPIVOTDATA("EA Play Season Pass
Price",$B$19)</f>
        <v>600</v>
      </c>
    </row>
    <row r="24" spans="2:5">
      <c r="C24"/>
    </row>
    <row r="25" spans="2:5">
      <c r="B25" s="13" t="s">
        <v>322</v>
      </c>
      <c r="C25"/>
    </row>
    <row r="26" spans="2:5">
      <c r="C26"/>
    </row>
    <row r="27" spans="2:5">
      <c r="B27" s="12" t="s">
        <v>17</v>
      </c>
      <c r="C27" t="s">
        <v>31</v>
      </c>
    </row>
    <row r="29" spans="2:5">
      <c r="B29" s="12" t="s">
        <v>320</v>
      </c>
      <c r="C29" s="14" t="s">
        <v>323</v>
      </c>
    </row>
    <row r="30" spans="2:5">
      <c r="B30" s="13" t="s">
        <v>29</v>
      </c>
      <c r="C30" s="17">
        <v>0</v>
      </c>
    </row>
    <row r="31" spans="2:5">
      <c r="B31" s="13" t="s">
        <v>34</v>
      </c>
      <c r="C31" s="17">
        <v>540</v>
      </c>
    </row>
    <row r="32" spans="2:5">
      <c r="B32" s="13" t="s">
        <v>25</v>
      </c>
      <c r="C32" s="17">
        <v>400</v>
      </c>
    </row>
    <row r="33" spans="2:5">
      <c r="B33" s="13" t="s">
        <v>318</v>
      </c>
      <c r="C33" s="17">
        <v>940</v>
      </c>
      <c r="E33" s="14">
        <f>GETPIVOTDATA("Minecraft Season Pass Price",$B$29)</f>
        <v>940</v>
      </c>
    </row>
    <row r="34" spans="2:5">
      <c r="C34"/>
    </row>
    <row r="35" spans="2:5">
      <c r="C35"/>
    </row>
    <row r="36" spans="2:5">
      <c r="C36"/>
    </row>
    <row r="37" spans="2:5">
      <c r="C37"/>
    </row>
    <row r="38" spans="2:5">
      <c r="C38"/>
    </row>
    <row r="39" spans="2:5">
      <c r="C39"/>
    </row>
    <row r="40" spans="2:5">
      <c r="C40"/>
    </row>
    <row r="41" spans="2:5">
      <c r="C41"/>
    </row>
    <row r="42" spans="2:5">
      <c r="C42"/>
    </row>
    <row r="43" spans="2:5">
      <c r="C43"/>
    </row>
    <row r="44" spans="2:5">
      <c r="C44"/>
    </row>
    <row r="45" spans="2:5">
      <c r="C45"/>
    </row>
    <row r="46" spans="2:5">
      <c r="C46"/>
    </row>
    <row r="47" spans="2:5">
      <c r="C47"/>
    </row>
    <row r="48" spans="2:5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I72"/>
  <sheetViews>
    <sheetView showGridLines="0" showRowColHeaders="0" tabSelected="1" zoomScaleNormal="100" workbookViewId="0">
      <selection activeCell="L20" sqref="L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.42578125" style="4" customWidth="1"/>
    <col min="2" max="2" width="3.5703125" customWidth="1"/>
    <col min="12" max="12" width="6.5703125" customWidth="1"/>
  </cols>
  <sheetData>
    <row r="2" spans="2:35" ht="22.5" customHeight="1" thickBot="1">
      <c r="C2" s="18" t="s">
        <v>324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35" ht="21.75" customHeight="1" thickTop="1"/>
    <row r="4" spans="2:35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2:35" ht="8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2:35" ht="8.2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2:35" ht="8.2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2:35" ht="8.2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 ht="8.25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2:35" ht="8.25" customHeight="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2:35" ht="7.5" customHeight="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2:35" ht="10.5" customHeight="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2:35" ht="6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2:35" ht="33" customHeight="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2: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2: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2: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2: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2: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2: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2: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2: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2: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5">
      <c r="B29" s="7"/>
      <c r="C29" s="7"/>
      <c r="D29" s="7"/>
      <c r="E29" s="7"/>
      <c r="F29" s="7"/>
      <c r="G29" s="7"/>
      <c r="H29" s="7"/>
      <c r="I29" s="7"/>
      <c r="J29" s="7"/>
      <c r="K29" s="1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2: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2: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2: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2: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2: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2: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2: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2: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2: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2: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2: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2: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2: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2: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2: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2: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2: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2: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2: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2: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2: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2: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2: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: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2: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2: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2: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2: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2: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2: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2: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2: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2: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2: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2: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2: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2: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2: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2: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2026-08-13T14:28:23Z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